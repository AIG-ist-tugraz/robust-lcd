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nleviet/Downloads/"/>
    </mc:Choice>
  </mc:AlternateContent>
  <xr:revisionPtr revIDLastSave="0" documentId="13_ncr:1_{4793A080-B77F-D843-AE92-6C0FF1FE3AFD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H41" i="1"/>
  <c r="H40" i="1"/>
  <c r="I18" i="1"/>
  <c r="I19" i="1"/>
  <c r="I20" i="1"/>
  <c r="M27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I27" i="1"/>
  <c r="I28" i="1"/>
  <c r="I29" i="1"/>
  <c r="M35" i="1" s="1"/>
  <c r="I30" i="1"/>
  <c r="I31" i="1"/>
  <c r="I32" i="1"/>
  <c r="I33" i="1"/>
  <c r="M33" i="1" s="1"/>
  <c r="I34" i="1"/>
  <c r="I35" i="1"/>
  <c r="I36" i="1"/>
  <c r="I37" i="1"/>
  <c r="I38" i="1"/>
  <c r="I39" i="1"/>
  <c r="I41" i="1"/>
  <c r="I42" i="1"/>
  <c r="I43" i="1"/>
  <c r="I44" i="1"/>
  <c r="I45" i="1"/>
  <c r="I46" i="1"/>
  <c r="I3" i="1"/>
  <c r="I4" i="1"/>
  <c r="M10" i="1" s="1"/>
  <c r="I5" i="1"/>
  <c r="I6" i="1"/>
  <c r="I7" i="1"/>
  <c r="I8" i="1"/>
  <c r="I9" i="1"/>
  <c r="I10" i="1"/>
  <c r="I11" i="1"/>
  <c r="I12" i="1"/>
  <c r="M19" i="1" s="1"/>
  <c r="I13" i="1"/>
  <c r="M13" i="1" s="1"/>
  <c r="I14" i="1"/>
  <c r="M14" i="1" s="1"/>
  <c r="I15" i="1"/>
  <c r="I16" i="1"/>
  <c r="I17" i="1"/>
  <c r="J27" i="1"/>
  <c r="M11" i="1"/>
  <c r="M31" i="1"/>
  <c r="M15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K27" i="1"/>
  <c r="L27" i="1"/>
  <c r="J28" i="1"/>
  <c r="K28" i="1"/>
  <c r="L28" i="1"/>
  <c r="K38" i="1"/>
  <c r="J38" i="1"/>
  <c r="L29" i="1"/>
  <c r="K29" i="1"/>
  <c r="J29" i="1"/>
  <c r="L20" i="1"/>
  <c r="K20" i="1"/>
  <c r="J20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L11" i="1"/>
  <c r="K11" i="1"/>
  <c r="J11" i="1"/>
  <c r="J3" i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L2" i="1"/>
  <c r="K2" i="1"/>
  <c r="J2" i="1"/>
  <c r="M18" i="1"/>
  <c r="H39" i="1"/>
  <c r="H42" i="1"/>
  <c r="H43" i="1"/>
  <c r="H44" i="1"/>
  <c r="H45" i="1"/>
  <c r="H46" i="1"/>
  <c r="H38" i="1"/>
  <c r="G39" i="1"/>
  <c r="G40" i="1"/>
  <c r="G41" i="1"/>
  <c r="G42" i="1"/>
  <c r="G43" i="1"/>
  <c r="G44" i="1"/>
  <c r="G45" i="1"/>
  <c r="G46" i="1"/>
  <c r="G38" i="1"/>
  <c r="H30" i="1"/>
  <c r="H31" i="1"/>
  <c r="H32" i="1"/>
  <c r="H33" i="1"/>
  <c r="H34" i="1"/>
  <c r="H35" i="1"/>
  <c r="H36" i="1"/>
  <c r="H37" i="1"/>
  <c r="G30" i="1"/>
  <c r="G31" i="1"/>
  <c r="G32" i="1"/>
  <c r="G33" i="1"/>
  <c r="G34" i="1"/>
  <c r="G35" i="1"/>
  <c r="G36" i="1"/>
  <c r="G37" i="1"/>
  <c r="H29" i="1"/>
  <c r="G29" i="1"/>
  <c r="H21" i="1"/>
  <c r="H22" i="1"/>
  <c r="H23" i="1"/>
  <c r="H24" i="1"/>
  <c r="H25" i="1"/>
  <c r="H26" i="1"/>
  <c r="H27" i="1"/>
  <c r="H28" i="1"/>
  <c r="G21" i="1"/>
  <c r="G22" i="1"/>
  <c r="G23" i="1"/>
  <c r="G24" i="1"/>
  <c r="G25" i="1"/>
  <c r="G26" i="1"/>
  <c r="G27" i="1"/>
  <c r="G28" i="1"/>
  <c r="H20" i="1"/>
  <c r="G20" i="1"/>
  <c r="H12" i="1"/>
  <c r="H13" i="1"/>
  <c r="H14" i="1"/>
  <c r="H15" i="1"/>
  <c r="H16" i="1"/>
  <c r="H17" i="1"/>
  <c r="H18" i="1"/>
  <c r="H19" i="1"/>
  <c r="G12" i="1"/>
  <c r="G13" i="1"/>
  <c r="G14" i="1"/>
  <c r="G15" i="1"/>
  <c r="G16" i="1"/>
  <c r="G17" i="1"/>
  <c r="G18" i="1"/>
  <c r="G19" i="1"/>
  <c r="H11" i="1"/>
  <c r="G11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F39" i="1"/>
  <c r="F40" i="1"/>
  <c r="F41" i="1"/>
  <c r="F42" i="1"/>
  <c r="F43" i="1"/>
  <c r="F44" i="1"/>
  <c r="F45" i="1"/>
  <c r="F46" i="1"/>
  <c r="F30" i="1"/>
  <c r="F31" i="1"/>
  <c r="F32" i="1"/>
  <c r="F33" i="1"/>
  <c r="F34" i="1"/>
  <c r="F35" i="1"/>
  <c r="F36" i="1"/>
  <c r="F37" i="1"/>
  <c r="F21" i="1"/>
  <c r="F22" i="1"/>
  <c r="F23" i="1"/>
  <c r="F24" i="1"/>
  <c r="F25" i="1"/>
  <c r="F26" i="1"/>
  <c r="F27" i="1"/>
  <c r="F28" i="1"/>
  <c r="F38" i="1"/>
  <c r="F29" i="1"/>
  <c r="F20" i="1"/>
  <c r="F12" i="1"/>
  <c r="F13" i="1"/>
  <c r="F14" i="1"/>
  <c r="F15" i="1"/>
  <c r="F16" i="1"/>
  <c r="F17" i="1"/>
  <c r="F18" i="1"/>
  <c r="F19" i="1"/>
  <c r="F11" i="1"/>
  <c r="F3" i="1"/>
  <c r="F4" i="1"/>
  <c r="F5" i="1"/>
  <c r="F6" i="1"/>
  <c r="F7" i="1"/>
  <c r="F8" i="1"/>
  <c r="F9" i="1"/>
  <c r="F10" i="1"/>
  <c r="F2" i="1"/>
  <c r="L46" i="1" l="1"/>
  <c r="L39" i="1"/>
  <c r="L44" i="1"/>
  <c r="L41" i="1"/>
  <c r="L43" i="1"/>
  <c r="L40" i="1"/>
  <c r="I40" i="1"/>
  <c r="M44" i="1" s="1"/>
  <c r="L45" i="1"/>
  <c r="L42" i="1"/>
  <c r="L38" i="1"/>
  <c r="M29" i="1"/>
  <c r="M26" i="1"/>
  <c r="M34" i="1"/>
  <c r="M2" i="1"/>
  <c r="M16" i="1"/>
  <c r="M37" i="1"/>
  <c r="M36" i="1"/>
  <c r="M28" i="1"/>
  <c r="M30" i="1"/>
  <c r="M45" i="1"/>
  <c r="M42" i="1"/>
  <c r="M17" i="1"/>
  <c r="M32" i="1"/>
  <c r="M12" i="1"/>
  <c r="M20" i="1"/>
  <c r="M8" i="1"/>
  <c r="M6" i="1"/>
  <c r="M46" i="1" l="1"/>
  <c r="M40" i="1"/>
  <c r="M41" i="1"/>
  <c r="M43" i="1"/>
  <c r="M39" i="1"/>
  <c r="M38" i="1"/>
  <c r="M3" i="1"/>
  <c r="M5" i="1"/>
  <c r="M4" i="1"/>
  <c r="M7" i="1"/>
  <c r="M9" i="1"/>
</calcChain>
</file>

<file path=xl/sharedStrings.xml><?xml version="1.0" encoding="utf-8"?>
<sst xmlns="http://schemas.openxmlformats.org/spreadsheetml/2006/main" count="103" uniqueCount="27">
  <si>
    <t>CKB</t>
  </si>
  <si>
    <t>Configuration</t>
  </si>
  <si>
    <t>Found_CS</t>
  </si>
  <si>
    <t>Checks_CS</t>
  </si>
  <si>
    <t>Std_Dev</t>
  </si>
  <si>
    <t>Overall</t>
  </si>
  <si>
    <t>Rank_Coverage</t>
  </si>
  <si>
    <t>Rank_Efficiency</t>
  </si>
  <si>
    <t>Rank_Std_Dev</t>
  </si>
  <si>
    <t>Rank_Overall_Weighted</t>
  </si>
  <si>
    <t>Norm_Found_CS</t>
  </si>
  <si>
    <t>Norm_Checks_CS</t>
  </si>
  <si>
    <t>Norm_Std_Dev</t>
  </si>
  <si>
    <t>Arcade</t>
  </si>
  <si>
    <t>FQA</t>
  </si>
  <si>
    <t>B2C</t>
  </si>
  <si>
    <t>BusyBox</t>
  </si>
  <si>
    <t>EA</t>
  </si>
  <si>
    <t>Baseline</t>
  </si>
  <si>
    <t>Multi-CS</t>
  </si>
  <si>
    <t>Full Pop</t>
  </si>
  <si>
    <t>Weighted Basic</t>
  </si>
  <si>
    <t>Weighted Advanced</t>
  </si>
  <si>
    <t>Weighted Full</t>
  </si>
  <si>
    <t>Extinction</t>
  </si>
  <si>
    <t>Ext+Multi-CS</t>
  </si>
  <si>
    <t>All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</si>
</sst>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6" workbookViewId="0">
      <selection activeCell="N33" sqref="N33"/>
    </sheetView>
  </sheetViews>
  <sheetFormatPr baseColWidth="10" defaultColWidth="8.83203125" defaultRowHeight="15" x14ac:dyDescent="0.2"/>
  <cols>
    <col min="2" max="2" width="16.33203125" bestFit="1" customWidth="1"/>
    <col min="5" max="5" width="7.5" bestFit="1" customWidth="1"/>
    <col min="6" max="6" width="13.83203125" bestFit="1" customWidth="1"/>
    <col min="7" max="7" width="14.33203125" bestFit="1" customWidth="1"/>
    <col min="8" max="8" width="12.6640625" bestFit="1" customWidth="1"/>
    <col min="9" max="9" width="12.1640625" bestFit="1" customWidth="1"/>
    <col min="10" max="10" width="12.83203125" bestFit="1" customWidth="1"/>
    <col min="11" max="11" width="13" bestFit="1" customWidth="1"/>
    <col min="12" max="12" width="12" bestFit="1" customWidth="1"/>
    <col min="13" max="13" width="19.832031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  <c r="G1" s="1" t="s">
        <v>11</v>
      </c>
      <c r="H1" s="1" t="s">
        <v>12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">
      <c r="A2" t="s">
        <v>13</v>
      </c>
      <c r="B2" t="s">
        <v>18</v>
      </c>
      <c r="C2">
        <v>104.75</v>
      </c>
      <c r="D2">
        <v>95.47</v>
      </c>
      <c r="E2">
        <v>2.17</v>
      </c>
      <c r="F2">
        <f>(C2-MIN($C$2:$C$10))/(MAX($C$2:$C$10)-MIN($C$2:$C$10))</f>
        <v>0.34397163120567381</v>
      </c>
      <c r="G2">
        <f>1-(D2-MIN($D$2:$D$10))/(MAX($D$2:$D$10)-MIN($D$2:$D$10))</f>
        <v>0</v>
      </c>
      <c r="H2">
        <f>1-(E2-MIN($E$2:$E$10))/(MAX($E$2:$E$10)-MIN($E$2:$E$10))</f>
        <v>0.68633540372670798</v>
      </c>
      <c r="I2">
        <f>0.4*F2+0.4*G2+0.2*H2</f>
        <v>0.27485573322761114</v>
      </c>
      <c r="J2">
        <f>RANK(F2,$F$2:$F$10,0)</f>
        <v>8</v>
      </c>
      <c r="K2">
        <f>RANK(G2,$G$2:$G$10,0)</f>
        <v>9</v>
      </c>
      <c r="L2">
        <f>RANK(H2,$H$2:$H$10,0)</f>
        <v>7</v>
      </c>
      <c r="M2">
        <f>RANK(I2,$I$2:$I$10,0)</f>
        <v>9</v>
      </c>
    </row>
    <row r="3" spans="1:13" x14ac:dyDescent="0.2">
      <c r="A3" t="s">
        <v>13</v>
      </c>
      <c r="B3" t="s">
        <v>19</v>
      </c>
      <c r="C3">
        <v>122.8</v>
      </c>
      <c r="D3">
        <v>81.430000000000007</v>
      </c>
      <c r="E3">
        <v>1.64</v>
      </c>
      <c r="F3">
        <f t="shared" ref="F3:F10" si="0">(C3-MIN($C$2:$C$10))/(MAX($C$2:$C$10)-MIN($C$2:$C$10))</f>
        <v>0.98404255319148926</v>
      </c>
      <c r="G3">
        <f t="shared" ref="G3:G10" si="1">1-(D3-MIN($D$2:$D$10))/(MAX($D$2:$D$10)-MIN($D$2:$D$10))</f>
        <v>0.2492897727272726</v>
      </c>
      <c r="H3">
        <f t="shared" ref="H3:H10" si="2">1-(E3-MIN($E$2:$E$10))/(MAX($E$2:$E$10)-MIN($E$2:$E$10))</f>
        <v>0.85093167701863348</v>
      </c>
      <c r="I3">
        <f t="shared" ref="I3:I46" si="3">0.4*F3+0.4*G3+0.2*H3</f>
        <v>0.66351926577123144</v>
      </c>
      <c r="J3">
        <f t="shared" ref="J3:J10" si="4">RANK(F3,$F$2:$F$10,0)</f>
        <v>3</v>
      </c>
      <c r="K3">
        <f t="shared" ref="K3:K10" si="5">RANK(G3,$G$2:$G$10,0)</f>
        <v>4</v>
      </c>
      <c r="L3">
        <f t="shared" ref="L3:L10" si="6">RANK(H3,$H$2:$H$10,0)</f>
        <v>5</v>
      </c>
      <c r="M3">
        <f t="shared" ref="M3:M9" si="7">RANK(I3,$I$2:$I$10,0)</f>
        <v>4</v>
      </c>
    </row>
    <row r="4" spans="1:13" x14ac:dyDescent="0.2">
      <c r="A4" t="s">
        <v>13</v>
      </c>
      <c r="B4" t="s">
        <v>20</v>
      </c>
      <c r="C4">
        <v>122.25</v>
      </c>
      <c r="D4">
        <v>81.8</v>
      </c>
      <c r="E4">
        <v>1.1599999999999999</v>
      </c>
      <c r="F4">
        <f t="shared" si="0"/>
        <v>0.96453900709219853</v>
      </c>
      <c r="G4">
        <f t="shared" si="1"/>
        <v>0.24272017045454553</v>
      </c>
      <c r="H4">
        <f t="shared" si="2"/>
        <v>1</v>
      </c>
      <c r="I4">
        <f t="shared" si="3"/>
        <v>0.68290367101869764</v>
      </c>
      <c r="J4">
        <f t="shared" si="4"/>
        <v>4</v>
      </c>
      <c r="K4">
        <f t="shared" si="5"/>
        <v>5</v>
      </c>
      <c r="L4" s="2">
        <f t="shared" si="6"/>
        <v>1</v>
      </c>
      <c r="M4">
        <f t="shared" si="7"/>
        <v>3</v>
      </c>
    </row>
    <row r="5" spans="1:13" x14ac:dyDescent="0.2">
      <c r="A5" t="s">
        <v>13</v>
      </c>
      <c r="B5" t="s">
        <v>21</v>
      </c>
      <c r="C5">
        <v>119.35</v>
      </c>
      <c r="D5">
        <v>83.79</v>
      </c>
      <c r="E5">
        <v>1.42</v>
      </c>
      <c r="F5">
        <f t="shared" si="0"/>
        <v>0.86170212765957432</v>
      </c>
      <c r="G5">
        <f t="shared" si="1"/>
        <v>0.20738636363636354</v>
      </c>
      <c r="H5">
        <f t="shared" si="2"/>
        <v>0.91925465838509313</v>
      </c>
      <c r="I5">
        <f t="shared" si="3"/>
        <v>0.61148632819539372</v>
      </c>
      <c r="J5">
        <f t="shared" si="4"/>
        <v>7</v>
      </c>
      <c r="K5">
        <f t="shared" si="5"/>
        <v>8</v>
      </c>
      <c r="L5">
        <f t="shared" si="6"/>
        <v>3</v>
      </c>
      <c r="M5">
        <f t="shared" si="7"/>
        <v>6</v>
      </c>
    </row>
    <row r="6" spans="1:13" x14ac:dyDescent="0.2">
      <c r="A6" t="s">
        <v>13</v>
      </c>
      <c r="B6" t="s">
        <v>22</v>
      </c>
      <c r="C6">
        <v>121.25</v>
      </c>
      <c r="D6">
        <v>82.47</v>
      </c>
      <c r="E6">
        <v>1.37</v>
      </c>
      <c r="F6">
        <f t="shared" si="0"/>
        <v>0.92907801418439717</v>
      </c>
      <c r="G6">
        <f t="shared" si="1"/>
        <v>0.23082386363636365</v>
      </c>
      <c r="H6">
        <f t="shared" si="2"/>
        <v>0.93478260869565211</v>
      </c>
      <c r="I6">
        <f t="shared" si="3"/>
        <v>0.65091727286743484</v>
      </c>
      <c r="J6">
        <f t="shared" si="4"/>
        <v>5</v>
      </c>
      <c r="K6">
        <f t="shared" si="5"/>
        <v>6</v>
      </c>
      <c r="L6">
        <f t="shared" si="6"/>
        <v>2</v>
      </c>
      <c r="M6">
        <f t="shared" si="7"/>
        <v>5</v>
      </c>
    </row>
    <row r="7" spans="1:13" x14ac:dyDescent="0.2">
      <c r="A7" t="s">
        <v>13</v>
      </c>
      <c r="B7" t="s">
        <v>23</v>
      </c>
      <c r="C7">
        <v>120.6</v>
      </c>
      <c r="D7">
        <v>82.92</v>
      </c>
      <c r="E7">
        <v>2.44</v>
      </c>
      <c r="F7">
        <f t="shared" si="0"/>
        <v>0.90602836879432602</v>
      </c>
      <c r="G7">
        <f t="shared" si="1"/>
        <v>0.22283380681818177</v>
      </c>
      <c r="H7">
        <f t="shared" si="2"/>
        <v>0.60248447204968936</v>
      </c>
      <c r="I7">
        <f t="shared" si="3"/>
        <v>0.57204176465494094</v>
      </c>
      <c r="J7">
        <f t="shared" si="4"/>
        <v>6</v>
      </c>
      <c r="K7">
        <f t="shared" si="5"/>
        <v>7</v>
      </c>
      <c r="L7">
        <f t="shared" si="6"/>
        <v>8</v>
      </c>
      <c r="M7">
        <f t="shared" si="7"/>
        <v>7</v>
      </c>
    </row>
    <row r="8" spans="1:13" x14ac:dyDescent="0.2">
      <c r="A8" t="s">
        <v>13</v>
      </c>
      <c r="B8" t="s">
        <v>24</v>
      </c>
      <c r="C8">
        <v>95.05</v>
      </c>
      <c r="D8">
        <v>48.55</v>
      </c>
      <c r="E8">
        <v>4.38</v>
      </c>
      <c r="F8">
        <f t="shared" si="0"/>
        <v>0</v>
      </c>
      <c r="G8">
        <f t="shared" si="1"/>
        <v>0.83309659090909094</v>
      </c>
      <c r="H8">
        <f t="shared" si="2"/>
        <v>0</v>
      </c>
      <c r="I8">
        <f t="shared" si="3"/>
        <v>0.33323863636363638</v>
      </c>
      <c r="J8">
        <f t="shared" si="4"/>
        <v>9</v>
      </c>
      <c r="K8">
        <f t="shared" si="5"/>
        <v>3</v>
      </c>
      <c r="L8">
        <f t="shared" si="6"/>
        <v>9</v>
      </c>
      <c r="M8">
        <f t="shared" si="7"/>
        <v>8</v>
      </c>
    </row>
    <row r="9" spans="1:13" x14ac:dyDescent="0.2">
      <c r="A9" t="s">
        <v>13</v>
      </c>
      <c r="B9" t="s">
        <v>25</v>
      </c>
      <c r="C9">
        <v>123</v>
      </c>
      <c r="D9">
        <v>39.15</v>
      </c>
      <c r="E9">
        <v>1.65</v>
      </c>
      <c r="F9">
        <f t="shared" si="0"/>
        <v>0.99113475177304966</v>
      </c>
      <c r="G9">
        <f t="shared" si="1"/>
        <v>1</v>
      </c>
      <c r="H9">
        <f t="shared" si="2"/>
        <v>0.84782608695652173</v>
      </c>
      <c r="I9">
        <f t="shared" si="3"/>
        <v>0.96601911810052432</v>
      </c>
      <c r="J9">
        <f t="shared" si="4"/>
        <v>2</v>
      </c>
      <c r="K9" s="2">
        <f t="shared" si="5"/>
        <v>1</v>
      </c>
      <c r="L9">
        <f t="shared" si="6"/>
        <v>6</v>
      </c>
      <c r="M9">
        <f t="shared" si="7"/>
        <v>2</v>
      </c>
    </row>
    <row r="10" spans="1:13" x14ac:dyDescent="0.2">
      <c r="A10" t="s">
        <v>13</v>
      </c>
      <c r="B10" t="s">
        <v>26</v>
      </c>
      <c r="C10">
        <v>123.25</v>
      </c>
      <c r="D10">
        <v>39.229999999999997</v>
      </c>
      <c r="E10">
        <v>1.58</v>
      </c>
      <c r="F10">
        <f t="shared" si="0"/>
        <v>1</v>
      </c>
      <c r="G10">
        <f t="shared" si="1"/>
        <v>0.99857954545454553</v>
      </c>
      <c r="H10">
        <f t="shared" si="2"/>
        <v>0.86956521739130432</v>
      </c>
      <c r="I10">
        <f t="shared" si="3"/>
        <v>0.97334486166007916</v>
      </c>
      <c r="J10" s="2">
        <f t="shared" si="4"/>
        <v>1</v>
      </c>
      <c r="K10">
        <f t="shared" si="5"/>
        <v>2</v>
      </c>
      <c r="L10">
        <f t="shared" si="6"/>
        <v>4</v>
      </c>
      <c r="M10" s="2">
        <f>RANK(I10,$I$2:$I$10,0)</f>
        <v>1</v>
      </c>
    </row>
    <row r="11" spans="1:13" x14ac:dyDescent="0.2">
      <c r="A11" t="s">
        <v>14</v>
      </c>
      <c r="B11" t="s">
        <v>18</v>
      </c>
      <c r="C11">
        <v>219.35</v>
      </c>
      <c r="D11">
        <v>45.59</v>
      </c>
      <c r="E11">
        <v>4.96</v>
      </c>
      <c r="F11">
        <f>(C11-MIN($C$11:$C$19))/(MAX($C$11:$C$19)-MIN($C$11:$C$19))</f>
        <v>0</v>
      </c>
      <c r="G11">
        <f>1-(D11-MIN($D$11:$D$19))/(MAX($D$11:$D$19)-MIN($D$11:$D$19))</f>
        <v>0</v>
      </c>
      <c r="H11">
        <f>1-(E11-MIN($E$11:$E$19))/(MAX($E$11:$E$19)-MIN($E$11:$E$19))</f>
        <v>1</v>
      </c>
      <c r="I11">
        <f t="shared" si="3"/>
        <v>0.2</v>
      </c>
      <c r="J11">
        <f>RANK(F11,$F$11:$F$19,0)</f>
        <v>9</v>
      </c>
      <c r="K11">
        <f>RANK(G11,$G$11:$G$19,0)</f>
        <v>9</v>
      </c>
      <c r="L11" s="2">
        <f>RANK(H11,$H$11:$H$19,0)</f>
        <v>1</v>
      </c>
      <c r="M11">
        <f>RANK(I11,$I$11:$I$19,0)</f>
        <v>9</v>
      </c>
    </row>
    <row r="12" spans="1:13" x14ac:dyDescent="0.2">
      <c r="A12" t="s">
        <v>14</v>
      </c>
      <c r="B12" t="s">
        <v>19</v>
      </c>
      <c r="C12">
        <v>241.05</v>
      </c>
      <c r="D12">
        <v>41.49</v>
      </c>
      <c r="E12">
        <v>7.29</v>
      </c>
      <c r="F12">
        <f t="shared" ref="F12:F19" si="8">(C12-MIN($C$11:$C$19))/(MAX($C$11:$C$19)-MIN($C$11:$C$19))</f>
        <v>0.31313131313131343</v>
      </c>
      <c r="G12">
        <f t="shared" ref="G12:G19" si="9">1-(D12-MIN($D$11:$D$19))/(MAX($D$11:$D$19)-MIN($D$11:$D$19))</f>
        <v>0.23495702005730668</v>
      </c>
      <c r="H12">
        <f t="shared" ref="H12:H19" si="10">1-(E12-MIN($E$11:$E$19))/(MAX($E$11:$E$19)-MIN($E$11:$E$19))</f>
        <v>0.29179331306990886</v>
      </c>
      <c r="I12">
        <f t="shared" si="3"/>
        <v>0.27759399588942979</v>
      </c>
      <c r="J12">
        <f t="shared" ref="J12:J19" si="11">RANK(F12,$F$11:$F$19,0)</f>
        <v>7</v>
      </c>
      <c r="K12">
        <f t="shared" ref="K12:K19" si="12">RANK(G12,$G$11:$G$19,0)</f>
        <v>8</v>
      </c>
      <c r="L12">
        <f t="shared" ref="L12:L19" si="13">RANK(H12,$H$11:$H$19,0)</f>
        <v>7</v>
      </c>
      <c r="M12">
        <f t="shared" ref="M12:M19" si="14">RANK(I12,$I$11:$I$19,0)</f>
        <v>6</v>
      </c>
    </row>
    <row r="13" spans="1:13" x14ac:dyDescent="0.2">
      <c r="A13" t="s">
        <v>14</v>
      </c>
      <c r="B13" t="s">
        <v>20</v>
      </c>
      <c r="C13">
        <v>243.75</v>
      </c>
      <c r="D13">
        <v>41.03</v>
      </c>
      <c r="E13">
        <v>7.76</v>
      </c>
      <c r="F13">
        <f t="shared" si="8"/>
        <v>0.35209235209235223</v>
      </c>
      <c r="G13">
        <f t="shared" si="9"/>
        <v>0.26131805157593135</v>
      </c>
      <c r="H13">
        <f t="shared" si="10"/>
        <v>0.14893617021276606</v>
      </c>
      <c r="I13">
        <f t="shared" si="3"/>
        <v>0.27515139550986667</v>
      </c>
      <c r="J13">
        <f t="shared" si="11"/>
        <v>4</v>
      </c>
      <c r="K13">
        <f t="shared" si="12"/>
        <v>5</v>
      </c>
      <c r="L13">
        <f t="shared" si="13"/>
        <v>8</v>
      </c>
      <c r="M13">
        <f t="shared" si="14"/>
        <v>7</v>
      </c>
    </row>
    <row r="14" spans="1:13" x14ac:dyDescent="0.2">
      <c r="A14" t="s">
        <v>14</v>
      </c>
      <c r="B14" t="s">
        <v>21</v>
      </c>
      <c r="C14">
        <v>243.85</v>
      </c>
      <c r="D14">
        <v>41.01</v>
      </c>
      <c r="E14">
        <v>6.49</v>
      </c>
      <c r="F14">
        <f t="shared" si="8"/>
        <v>0.35353535353535365</v>
      </c>
      <c r="G14">
        <f t="shared" si="9"/>
        <v>0.26246418338108912</v>
      </c>
      <c r="H14">
        <f t="shared" si="10"/>
        <v>0.53495440729483268</v>
      </c>
      <c r="I14">
        <f t="shared" si="3"/>
        <v>0.35339069622554364</v>
      </c>
      <c r="J14">
        <f t="shared" si="11"/>
        <v>3</v>
      </c>
      <c r="K14">
        <f t="shared" si="12"/>
        <v>4</v>
      </c>
      <c r="L14">
        <f t="shared" si="13"/>
        <v>4</v>
      </c>
      <c r="M14">
        <f t="shared" si="14"/>
        <v>3</v>
      </c>
    </row>
    <row r="15" spans="1:13" x14ac:dyDescent="0.2">
      <c r="A15" t="s">
        <v>14</v>
      </c>
      <c r="B15" t="s">
        <v>22</v>
      </c>
      <c r="C15">
        <v>242.6</v>
      </c>
      <c r="D15">
        <v>41.22</v>
      </c>
      <c r="E15">
        <v>7.07</v>
      </c>
      <c r="F15">
        <f t="shared" si="8"/>
        <v>0.33549783549783557</v>
      </c>
      <c r="G15">
        <f t="shared" si="9"/>
        <v>0.25042979942693433</v>
      </c>
      <c r="H15">
        <f t="shared" si="10"/>
        <v>0.3586626139817628</v>
      </c>
      <c r="I15">
        <f t="shared" si="3"/>
        <v>0.30610357676626054</v>
      </c>
      <c r="J15">
        <f t="shared" si="11"/>
        <v>5</v>
      </c>
      <c r="K15">
        <f t="shared" si="12"/>
        <v>6</v>
      </c>
      <c r="L15">
        <f t="shared" si="13"/>
        <v>6</v>
      </c>
      <c r="M15">
        <f t="shared" si="14"/>
        <v>5</v>
      </c>
    </row>
    <row r="16" spans="1:13" x14ac:dyDescent="0.2">
      <c r="A16" t="s">
        <v>14</v>
      </c>
      <c r="B16" t="s">
        <v>23</v>
      </c>
      <c r="C16">
        <v>241.15</v>
      </c>
      <c r="D16">
        <v>41.47</v>
      </c>
      <c r="E16">
        <v>8.25</v>
      </c>
      <c r="F16">
        <f t="shared" si="8"/>
        <v>0.31457431457431484</v>
      </c>
      <c r="G16">
        <f t="shared" si="9"/>
        <v>0.23610315186246444</v>
      </c>
      <c r="H16">
        <f t="shared" si="10"/>
        <v>0</v>
      </c>
      <c r="I16">
        <f t="shared" si="3"/>
        <v>0.22027098657471172</v>
      </c>
      <c r="J16">
        <f t="shared" si="11"/>
        <v>6</v>
      </c>
      <c r="K16">
        <f t="shared" si="12"/>
        <v>7</v>
      </c>
      <c r="L16">
        <f t="shared" si="13"/>
        <v>9</v>
      </c>
      <c r="M16">
        <f t="shared" si="14"/>
        <v>8</v>
      </c>
    </row>
    <row r="17" spans="1:13" x14ac:dyDescent="0.2">
      <c r="A17" t="s">
        <v>14</v>
      </c>
      <c r="B17" t="s">
        <v>24</v>
      </c>
      <c r="C17">
        <v>237.55</v>
      </c>
      <c r="D17">
        <v>39.909999999999997</v>
      </c>
      <c r="E17">
        <v>6.71</v>
      </c>
      <c r="F17">
        <f t="shared" si="8"/>
        <v>0.26262626262626293</v>
      </c>
      <c r="G17">
        <f t="shared" si="9"/>
        <v>0.32550143266475684</v>
      </c>
      <c r="H17">
        <f t="shared" si="10"/>
        <v>0.46808510638297873</v>
      </c>
      <c r="I17">
        <f t="shared" si="3"/>
        <v>0.32886809939300365</v>
      </c>
      <c r="J17">
        <f t="shared" si="11"/>
        <v>8</v>
      </c>
      <c r="K17">
        <f t="shared" si="12"/>
        <v>3</v>
      </c>
      <c r="L17">
        <f t="shared" si="13"/>
        <v>5</v>
      </c>
      <c r="M17">
        <f t="shared" si="14"/>
        <v>4</v>
      </c>
    </row>
    <row r="18" spans="1:13" x14ac:dyDescent="0.2">
      <c r="A18" t="s">
        <v>14</v>
      </c>
      <c r="B18" t="s">
        <v>25</v>
      </c>
      <c r="C18">
        <v>288.64999999999998</v>
      </c>
      <c r="D18">
        <v>28.56</v>
      </c>
      <c r="E18">
        <v>6.1</v>
      </c>
      <c r="F18">
        <f t="shared" si="8"/>
        <v>1</v>
      </c>
      <c r="G18">
        <f t="shared" si="9"/>
        <v>0.97593123209169064</v>
      </c>
      <c r="H18">
        <f t="shared" si="10"/>
        <v>0.6534954407294834</v>
      </c>
      <c r="I18">
        <f t="shared" si="3"/>
        <v>0.92107158098257302</v>
      </c>
      <c r="J18" s="2">
        <f t="shared" si="11"/>
        <v>1</v>
      </c>
      <c r="K18">
        <f t="shared" si="12"/>
        <v>2</v>
      </c>
      <c r="L18">
        <f t="shared" si="13"/>
        <v>3</v>
      </c>
      <c r="M18">
        <f t="shared" si="14"/>
        <v>2</v>
      </c>
    </row>
    <row r="19" spans="1:13" x14ac:dyDescent="0.2">
      <c r="A19" t="s">
        <v>14</v>
      </c>
      <c r="B19" t="s">
        <v>26</v>
      </c>
      <c r="C19">
        <v>286.39999999999998</v>
      </c>
      <c r="D19">
        <v>28.14</v>
      </c>
      <c r="E19">
        <v>5.37</v>
      </c>
      <c r="F19">
        <f t="shared" si="8"/>
        <v>0.96753246753246758</v>
      </c>
      <c r="G19">
        <f t="shared" si="9"/>
        <v>1</v>
      </c>
      <c r="H19">
        <f t="shared" si="10"/>
        <v>0.87537993920972634</v>
      </c>
      <c r="I19">
        <f t="shared" si="3"/>
        <v>0.96208897485493239</v>
      </c>
      <c r="J19">
        <f t="shared" si="11"/>
        <v>2</v>
      </c>
      <c r="K19" s="2">
        <f t="shared" si="12"/>
        <v>1</v>
      </c>
      <c r="L19">
        <f t="shared" si="13"/>
        <v>2</v>
      </c>
      <c r="M19" s="2">
        <f t="shared" si="14"/>
        <v>1</v>
      </c>
    </row>
    <row r="20" spans="1:13" x14ac:dyDescent="0.2">
      <c r="A20" t="s">
        <v>15</v>
      </c>
      <c r="B20" t="s">
        <v>18</v>
      </c>
      <c r="C20">
        <v>164.3</v>
      </c>
      <c r="D20">
        <v>60.86</v>
      </c>
      <c r="E20">
        <v>4.88</v>
      </c>
      <c r="F20">
        <f>(C20-MIN($C$20:$C$28))/(MAX($C$20:$C$28)-MIN($C$20:$C$28))</f>
        <v>0</v>
      </c>
      <c r="G20">
        <f>1-(D20-MIN($D$20:$D$28))/(MAX($D$20:$D$28)-MIN($D$20:$D$28))</f>
        <v>0</v>
      </c>
      <c r="H20">
        <f>1-(E20-MIN($E$20:$E$28))/(MAX($E$20:$E$28)-MIN($E$20:$E$28))</f>
        <v>0</v>
      </c>
      <c r="I20">
        <f t="shared" si="3"/>
        <v>0</v>
      </c>
      <c r="J20">
        <f>RANK(F20,$F$20:$F$28,0)</f>
        <v>9</v>
      </c>
      <c r="K20">
        <f>RANK(G20,$G$20:$G$28,0)</f>
        <v>9</v>
      </c>
      <c r="L20">
        <f>RANK(H20,$H$20:$H$28,0)</f>
        <v>9</v>
      </c>
      <c r="M20">
        <f>RANK(I20,$I$20:$I$28,0)</f>
        <v>9</v>
      </c>
    </row>
    <row r="21" spans="1:13" x14ac:dyDescent="0.2">
      <c r="A21" t="s">
        <v>15</v>
      </c>
      <c r="B21" t="s">
        <v>19</v>
      </c>
      <c r="C21">
        <v>174.5</v>
      </c>
      <c r="D21">
        <v>57.31</v>
      </c>
      <c r="E21">
        <v>3.43</v>
      </c>
      <c r="F21">
        <f t="shared" ref="F21:F28" si="15">(C21-MIN($C$20:$C$28))/(MAX($C$20:$C$28)-MIN($C$20:$C$28))</f>
        <v>0.31145038167938899</v>
      </c>
      <c r="G21">
        <f t="shared" ref="G21:G28" si="16">1-(D21-MIN($D$20:$D$28))/(MAX($D$20:$D$28)-MIN($D$20:$D$28))</f>
        <v>0.15401301518438171</v>
      </c>
      <c r="H21">
        <f t="shared" ref="H21:H28" si="17">1-(E21-MIN($E$20:$E$28))/(MAX($E$20:$E$28)-MIN($E$20:$E$28))</f>
        <v>0.74358974358974361</v>
      </c>
      <c r="I21">
        <f t="shared" si="3"/>
        <v>0.33490330746345698</v>
      </c>
      <c r="J21">
        <f t="shared" ref="J21:J28" si="18">RANK(F21,$F$20:$F$28,0)</f>
        <v>4</v>
      </c>
      <c r="K21">
        <f t="shared" ref="K21:K28" si="19">RANK(G21,$G$20:$G$28,0)</f>
        <v>4</v>
      </c>
      <c r="L21">
        <f t="shared" ref="L21:L28" si="20">RANK(H21,$H$20:$H$28,0)</f>
        <v>2</v>
      </c>
      <c r="M21">
        <f t="shared" ref="M21:M28" si="21">RANK(I21,$I$20:$I$28,0)</f>
        <v>4</v>
      </c>
    </row>
    <row r="22" spans="1:13" x14ac:dyDescent="0.2">
      <c r="A22" t="s">
        <v>15</v>
      </c>
      <c r="B22" t="s">
        <v>20</v>
      </c>
      <c r="C22">
        <v>168.6</v>
      </c>
      <c r="D22">
        <v>59.31</v>
      </c>
      <c r="E22">
        <v>2.93</v>
      </c>
      <c r="F22">
        <f t="shared" si="15"/>
        <v>0.1312977099236636</v>
      </c>
      <c r="G22">
        <f t="shared" si="16"/>
        <v>6.7245119305856749E-2</v>
      </c>
      <c r="H22">
        <f t="shared" si="17"/>
        <v>1</v>
      </c>
      <c r="I22">
        <f t="shared" si="3"/>
        <v>0.27941713169180815</v>
      </c>
      <c r="J22">
        <f t="shared" si="18"/>
        <v>8</v>
      </c>
      <c r="K22">
        <f t="shared" si="19"/>
        <v>8</v>
      </c>
      <c r="L22" s="2">
        <f t="shared" si="20"/>
        <v>1</v>
      </c>
      <c r="M22">
        <f t="shared" si="21"/>
        <v>5</v>
      </c>
    </row>
    <row r="23" spans="1:13" x14ac:dyDescent="0.2">
      <c r="A23" t="s">
        <v>15</v>
      </c>
      <c r="B23" t="s">
        <v>21</v>
      </c>
      <c r="C23">
        <v>170.35</v>
      </c>
      <c r="D23">
        <v>58.7</v>
      </c>
      <c r="E23">
        <v>4.6900000000000004</v>
      </c>
      <c r="F23">
        <f t="shared" si="15"/>
        <v>0.1847328244274804</v>
      </c>
      <c r="G23">
        <f t="shared" si="16"/>
        <v>9.3709327548806787E-2</v>
      </c>
      <c r="H23">
        <f t="shared" si="17"/>
        <v>9.7435897435897201E-2</v>
      </c>
      <c r="I23">
        <f t="shared" si="3"/>
        <v>0.13086404027769433</v>
      </c>
      <c r="J23">
        <f t="shared" si="18"/>
        <v>6</v>
      </c>
      <c r="K23">
        <f t="shared" si="19"/>
        <v>6</v>
      </c>
      <c r="L23">
        <f t="shared" si="20"/>
        <v>8</v>
      </c>
      <c r="M23">
        <f t="shared" si="21"/>
        <v>8</v>
      </c>
    </row>
    <row r="24" spans="1:13" x14ac:dyDescent="0.2">
      <c r="A24" t="s">
        <v>15</v>
      </c>
      <c r="B24" t="s">
        <v>22</v>
      </c>
      <c r="C24">
        <v>170.75</v>
      </c>
      <c r="D24">
        <v>58.57</v>
      </c>
      <c r="E24">
        <v>3.77</v>
      </c>
      <c r="F24">
        <f t="shared" si="15"/>
        <v>0.19694656488549583</v>
      </c>
      <c r="G24">
        <f t="shared" si="16"/>
        <v>9.9349240780911008E-2</v>
      </c>
      <c r="H24">
        <f t="shared" si="17"/>
        <v>0.56923076923076921</v>
      </c>
      <c r="I24">
        <f t="shared" si="3"/>
        <v>0.2323644761127166</v>
      </c>
      <c r="J24">
        <f t="shared" si="18"/>
        <v>5</v>
      </c>
      <c r="K24">
        <f t="shared" si="19"/>
        <v>5</v>
      </c>
      <c r="L24">
        <f t="shared" si="20"/>
        <v>3</v>
      </c>
      <c r="M24">
        <f t="shared" si="21"/>
        <v>6</v>
      </c>
    </row>
    <row r="25" spans="1:13" x14ac:dyDescent="0.2">
      <c r="A25" t="s">
        <v>15</v>
      </c>
      <c r="B25" t="s">
        <v>23</v>
      </c>
      <c r="C25">
        <v>169.4</v>
      </c>
      <c r="D25">
        <v>59.03</v>
      </c>
      <c r="E25">
        <v>4.1500000000000004</v>
      </c>
      <c r="F25">
        <f t="shared" si="15"/>
        <v>0.15572519083969449</v>
      </c>
      <c r="G25">
        <f t="shared" si="16"/>
        <v>7.9392624728850225E-2</v>
      </c>
      <c r="H25">
        <f t="shared" si="17"/>
        <v>0.37435897435897414</v>
      </c>
      <c r="I25">
        <f t="shared" si="3"/>
        <v>0.16891892109921275</v>
      </c>
      <c r="J25">
        <f t="shared" si="18"/>
        <v>7</v>
      </c>
      <c r="K25">
        <f t="shared" si="19"/>
        <v>7</v>
      </c>
      <c r="L25">
        <f t="shared" si="20"/>
        <v>5</v>
      </c>
      <c r="M25">
        <f t="shared" si="21"/>
        <v>7</v>
      </c>
    </row>
    <row r="26" spans="1:13" x14ac:dyDescent="0.2">
      <c r="A26" t="s">
        <v>15</v>
      </c>
      <c r="B26" t="s">
        <v>24</v>
      </c>
      <c r="C26">
        <v>184.05</v>
      </c>
      <c r="D26">
        <v>51.7</v>
      </c>
      <c r="E26">
        <v>4.24</v>
      </c>
      <c r="F26">
        <f t="shared" si="15"/>
        <v>0.60305343511450382</v>
      </c>
      <c r="G26">
        <f t="shared" si="16"/>
        <v>0.39739696312364414</v>
      </c>
      <c r="H26">
        <f t="shared" si="17"/>
        <v>0.32820512820512804</v>
      </c>
      <c r="I26">
        <f t="shared" si="3"/>
        <v>0.46582118493628477</v>
      </c>
      <c r="J26">
        <f t="shared" si="18"/>
        <v>3</v>
      </c>
      <c r="K26">
        <f t="shared" si="19"/>
        <v>3</v>
      </c>
      <c r="L26">
        <f t="shared" si="20"/>
        <v>6</v>
      </c>
      <c r="M26">
        <f t="shared" si="21"/>
        <v>3</v>
      </c>
    </row>
    <row r="27" spans="1:13" x14ac:dyDescent="0.2">
      <c r="A27" t="s">
        <v>15</v>
      </c>
      <c r="B27" t="s">
        <v>25</v>
      </c>
      <c r="C27">
        <v>197.05</v>
      </c>
      <c r="D27">
        <v>37.81</v>
      </c>
      <c r="E27">
        <v>4.6100000000000003</v>
      </c>
      <c r="F27">
        <f t="shared" si="15"/>
        <v>1</v>
      </c>
      <c r="G27">
        <f t="shared" si="16"/>
        <v>1</v>
      </c>
      <c r="H27">
        <f t="shared" si="17"/>
        <v>0.1384615384615383</v>
      </c>
      <c r="I27">
        <f t="shared" si="3"/>
        <v>0.82769230769230773</v>
      </c>
      <c r="J27" s="2">
        <f>RANK(F27,$F$20:$F$28,0)</f>
        <v>1</v>
      </c>
      <c r="K27" s="2">
        <f t="shared" si="19"/>
        <v>1</v>
      </c>
      <c r="L27">
        <f t="shared" si="20"/>
        <v>7</v>
      </c>
      <c r="M27">
        <f t="shared" si="21"/>
        <v>2</v>
      </c>
    </row>
    <row r="28" spans="1:13" x14ac:dyDescent="0.2">
      <c r="A28" t="s">
        <v>15</v>
      </c>
      <c r="B28" t="s">
        <v>26</v>
      </c>
      <c r="C28">
        <v>196.95</v>
      </c>
      <c r="D28">
        <v>39.4</v>
      </c>
      <c r="E28">
        <v>3.95</v>
      </c>
      <c r="F28">
        <f t="shared" si="15"/>
        <v>0.99694656488549549</v>
      </c>
      <c r="G28">
        <f t="shared" si="16"/>
        <v>0.93101952277657285</v>
      </c>
      <c r="H28">
        <f t="shared" si="17"/>
        <v>0.47692307692307689</v>
      </c>
      <c r="I28">
        <f t="shared" si="3"/>
        <v>0.86657105044944283</v>
      </c>
      <c r="J28">
        <f t="shared" si="18"/>
        <v>2</v>
      </c>
      <c r="K28">
        <f t="shared" si="19"/>
        <v>2</v>
      </c>
      <c r="L28">
        <f t="shared" si="20"/>
        <v>4</v>
      </c>
      <c r="M28" s="2">
        <f t="shared" si="21"/>
        <v>1</v>
      </c>
    </row>
    <row r="29" spans="1:13" x14ac:dyDescent="0.2">
      <c r="A29" t="s">
        <v>16</v>
      </c>
      <c r="B29" t="s">
        <v>18</v>
      </c>
      <c r="C29">
        <v>42.3</v>
      </c>
      <c r="D29">
        <v>236.41</v>
      </c>
      <c r="E29">
        <v>6.88</v>
      </c>
      <c r="F29">
        <f>(C29-MIN($C$29:$C$37))/(MAX($C$29:$C$37)-MIN($C$29:$C$37))</f>
        <v>0.11165644171779134</v>
      </c>
      <c r="G29">
        <f>1-(D29-MIN($D$29:$D$37))/(MAX($D$29:$D$37)-MIN($D$29:$D$37))</f>
        <v>0.14061497458170857</v>
      </c>
      <c r="H29">
        <f>1-(E29-MIN($E$29:$E$37))/(MAX($E$29:$E$37)-MIN($E$29:$E$37))</f>
        <v>2.346041055718473E-2</v>
      </c>
      <c r="I29">
        <f t="shared" si="3"/>
        <v>0.10560064863123692</v>
      </c>
      <c r="J29">
        <f>RANK(F29,$F$29:$F$37,0)</f>
        <v>5</v>
      </c>
      <c r="K29">
        <f>RANK(G29,$G$29:$G$37,0)</f>
        <v>5</v>
      </c>
      <c r="L29">
        <f>RANK(H29,$H$29:$H$37,0)</f>
        <v>8</v>
      </c>
      <c r="M29">
        <f>RANK(I29,$I$29:$I$37,0)</f>
        <v>9</v>
      </c>
    </row>
    <row r="30" spans="1:13" x14ac:dyDescent="0.2">
      <c r="A30" t="s">
        <v>16</v>
      </c>
      <c r="B30" t="s">
        <v>19</v>
      </c>
      <c r="C30">
        <v>44.35</v>
      </c>
      <c r="D30">
        <v>225.48</v>
      </c>
      <c r="E30">
        <v>6.52</v>
      </c>
      <c r="F30">
        <f t="shared" ref="F30:F37" si="22">(C30-MIN($C$29:$C$37))/(MAX($C$29:$C$37)-MIN($C$29:$C$37))</f>
        <v>0.16196319018404912</v>
      </c>
      <c r="G30">
        <f t="shared" ref="G30:G37" si="23">1-(D30-MIN($D$29:$D$37))/(MAX($D$29:$D$37)-MIN($D$29:$D$37))</f>
        <v>0.19456097922116378</v>
      </c>
      <c r="H30">
        <f t="shared" ref="H30:H37" si="24">1-(E30-MIN($E$29:$E$37))/(MAX($E$29:$E$37)-MIN($E$29:$E$37))</f>
        <v>0.12903225806451624</v>
      </c>
      <c r="I30">
        <f t="shared" si="3"/>
        <v>0.1684161193749884</v>
      </c>
      <c r="J30">
        <f t="shared" ref="J30:J37" si="25">RANK(F30,$F$29:$F$37,0)</f>
        <v>4</v>
      </c>
      <c r="K30">
        <f t="shared" ref="K30:K37" si="26">RANK(G30,$G$29:$G$37,0)</f>
        <v>4</v>
      </c>
      <c r="L30">
        <f t="shared" ref="L30:L37" si="27">RANK(H30,$H$29:$H$37,0)</f>
        <v>7</v>
      </c>
      <c r="M30">
        <f t="shared" ref="M30:M37" si="28">RANK(I30,$I$29:$I$37,0)</f>
        <v>8</v>
      </c>
    </row>
    <row r="31" spans="1:13" x14ac:dyDescent="0.2">
      <c r="A31" t="s">
        <v>16</v>
      </c>
      <c r="B31" t="s">
        <v>20</v>
      </c>
      <c r="C31">
        <v>39.5</v>
      </c>
      <c r="D31">
        <v>253.16</v>
      </c>
      <c r="E31">
        <v>3.9</v>
      </c>
      <c r="F31">
        <f t="shared" si="22"/>
        <v>4.2944785276073622E-2</v>
      </c>
      <c r="G31">
        <f t="shared" si="23"/>
        <v>5.7943832979615917E-2</v>
      </c>
      <c r="H31">
        <f t="shared" si="24"/>
        <v>0.8973607038123167</v>
      </c>
      <c r="I31">
        <f t="shared" si="3"/>
        <v>0.21982758806473918</v>
      </c>
      <c r="J31">
        <f t="shared" si="25"/>
        <v>7</v>
      </c>
      <c r="K31">
        <f t="shared" si="26"/>
        <v>7</v>
      </c>
      <c r="L31">
        <f t="shared" si="27"/>
        <v>5</v>
      </c>
      <c r="M31">
        <f t="shared" si="28"/>
        <v>6</v>
      </c>
    </row>
    <row r="32" spans="1:13" x14ac:dyDescent="0.2">
      <c r="A32" t="s">
        <v>16</v>
      </c>
      <c r="B32" t="s">
        <v>21</v>
      </c>
      <c r="C32">
        <v>37.75</v>
      </c>
      <c r="D32">
        <v>264.89999999999998</v>
      </c>
      <c r="E32">
        <v>3.55</v>
      </c>
      <c r="F32">
        <f t="shared" si="22"/>
        <v>0</v>
      </c>
      <c r="G32">
        <f t="shared" si="23"/>
        <v>0</v>
      </c>
      <c r="H32">
        <f t="shared" si="24"/>
        <v>1</v>
      </c>
      <c r="I32">
        <f t="shared" si="3"/>
        <v>0.2</v>
      </c>
      <c r="J32">
        <f t="shared" si="25"/>
        <v>9</v>
      </c>
      <c r="K32">
        <f t="shared" si="26"/>
        <v>9</v>
      </c>
      <c r="L32" s="2">
        <f t="shared" si="27"/>
        <v>1</v>
      </c>
      <c r="M32">
        <f t="shared" si="28"/>
        <v>7</v>
      </c>
    </row>
    <row r="33" spans="1:13" x14ac:dyDescent="0.2">
      <c r="A33" t="s">
        <v>16</v>
      </c>
      <c r="B33" t="s">
        <v>22</v>
      </c>
      <c r="C33">
        <v>39.1</v>
      </c>
      <c r="D33">
        <v>255.75</v>
      </c>
      <c r="E33">
        <v>3.67</v>
      </c>
      <c r="F33">
        <f t="shared" si="22"/>
        <v>3.3128834355828259E-2</v>
      </c>
      <c r="G33">
        <f t="shared" si="23"/>
        <v>4.5160653472187784E-2</v>
      </c>
      <c r="H33">
        <f t="shared" si="24"/>
        <v>0.96480938416422279</v>
      </c>
      <c r="I33">
        <f t="shared" si="3"/>
        <v>0.22427767196405099</v>
      </c>
      <c r="J33">
        <f t="shared" si="25"/>
        <v>8</v>
      </c>
      <c r="K33">
        <f t="shared" si="26"/>
        <v>8</v>
      </c>
      <c r="L33">
        <f t="shared" si="27"/>
        <v>3</v>
      </c>
      <c r="M33">
        <f t="shared" si="28"/>
        <v>5</v>
      </c>
    </row>
    <row r="34" spans="1:13" x14ac:dyDescent="0.2">
      <c r="A34" t="s">
        <v>16</v>
      </c>
      <c r="B34" t="s">
        <v>23</v>
      </c>
      <c r="C34">
        <v>39.65</v>
      </c>
      <c r="D34">
        <v>252.21</v>
      </c>
      <c r="E34">
        <v>3.57</v>
      </c>
      <c r="F34">
        <f t="shared" si="22"/>
        <v>4.6625766871165611E-2</v>
      </c>
      <c r="G34">
        <f t="shared" si="23"/>
        <v>6.2632643995853998E-2</v>
      </c>
      <c r="H34">
        <f t="shared" si="24"/>
        <v>0.99413489736070382</v>
      </c>
      <c r="I34">
        <f t="shared" si="3"/>
        <v>0.24253034381894864</v>
      </c>
      <c r="J34">
        <f t="shared" si="25"/>
        <v>6</v>
      </c>
      <c r="K34">
        <f t="shared" si="26"/>
        <v>6</v>
      </c>
      <c r="L34">
        <f t="shared" si="27"/>
        <v>2</v>
      </c>
      <c r="M34">
        <f t="shared" si="28"/>
        <v>4</v>
      </c>
    </row>
    <row r="35" spans="1:13" x14ac:dyDescent="0.2">
      <c r="A35" t="s">
        <v>16</v>
      </c>
      <c r="B35" t="s">
        <v>24</v>
      </c>
      <c r="C35">
        <v>67.3</v>
      </c>
      <c r="D35">
        <v>74.44</v>
      </c>
      <c r="E35">
        <v>3.69</v>
      </c>
      <c r="F35">
        <f t="shared" si="22"/>
        <v>0.72515337423312876</v>
      </c>
      <c r="G35">
        <f t="shared" si="23"/>
        <v>0.94003257489758651</v>
      </c>
      <c r="H35">
        <f t="shared" si="24"/>
        <v>0.95894428152492661</v>
      </c>
      <c r="I35">
        <f t="shared" si="3"/>
        <v>0.85786323595727143</v>
      </c>
      <c r="J35">
        <f t="shared" si="25"/>
        <v>3</v>
      </c>
      <c r="K35">
        <f t="shared" si="26"/>
        <v>3</v>
      </c>
      <c r="L35">
        <f t="shared" si="27"/>
        <v>4</v>
      </c>
      <c r="M35" s="2">
        <f t="shared" si="28"/>
        <v>1</v>
      </c>
    </row>
    <row r="36" spans="1:13" x14ac:dyDescent="0.2">
      <c r="A36" t="s">
        <v>16</v>
      </c>
      <c r="B36" t="s">
        <v>25</v>
      </c>
      <c r="C36">
        <v>78.5</v>
      </c>
      <c r="D36">
        <v>62.29</v>
      </c>
      <c r="E36">
        <v>6.49</v>
      </c>
      <c r="F36">
        <f t="shared" si="22"/>
        <v>1</v>
      </c>
      <c r="G36">
        <f t="shared" si="23"/>
        <v>1</v>
      </c>
      <c r="H36">
        <f t="shared" si="24"/>
        <v>0.13782991202346029</v>
      </c>
      <c r="I36">
        <f t="shared" si="3"/>
        <v>0.82756598240469215</v>
      </c>
      <c r="J36" s="2">
        <f t="shared" si="25"/>
        <v>1</v>
      </c>
      <c r="K36" s="2">
        <f t="shared" si="26"/>
        <v>1</v>
      </c>
      <c r="L36">
        <f t="shared" si="27"/>
        <v>6</v>
      </c>
      <c r="M36">
        <f t="shared" si="28"/>
        <v>2</v>
      </c>
    </row>
    <row r="37" spans="1:13" x14ac:dyDescent="0.2">
      <c r="A37" t="s">
        <v>16</v>
      </c>
      <c r="B37" t="s">
        <v>26</v>
      </c>
      <c r="C37">
        <v>77.45</v>
      </c>
      <c r="D37">
        <v>63.07</v>
      </c>
      <c r="E37">
        <v>6.96</v>
      </c>
      <c r="F37">
        <f t="shared" si="22"/>
        <v>0.97423312883435587</v>
      </c>
      <c r="G37">
        <f t="shared" si="23"/>
        <v>0.99615023937614133</v>
      </c>
      <c r="H37">
        <f t="shared" si="24"/>
        <v>0</v>
      </c>
      <c r="I37">
        <f t="shared" si="3"/>
        <v>0.78815334728419884</v>
      </c>
      <c r="J37">
        <f t="shared" si="25"/>
        <v>2</v>
      </c>
      <c r="K37">
        <f t="shared" si="26"/>
        <v>2</v>
      </c>
      <c r="L37">
        <f t="shared" si="27"/>
        <v>9</v>
      </c>
      <c r="M37">
        <f t="shared" si="28"/>
        <v>3</v>
      </c>
    </row>
    <row r="38" spans="1:13" x14ac:dyDescent="0.2">
      <c r="A38" t="s">
        <v>17</v>
      </c>
      <c r="B38" t="s">
        <v>18</v>
      </c>
      <c r="C38">
        <v>1129.4000000000001</v>
      </c>
      <c r="D38">
        <v>8.85</v>
      </c>
      <c r="E38">
        <v>29.88</v>
      </c>
      <c r="F38">
        <f>(C38-MIN($C$38:$C$46))/(MAX($C$38:$C$46)-MIN($C$38:$C$46))</f>
        <v>0</v>
      </c>
      <c r="G38">
        <f>1-(D38-MIN($D$38:$D$46))/(MAX($D$38:$D$46)-MIN($D$38:$D$46))</f>
        <v>0</v>
      </c>
      <c r="H38">
        <f>1-(E38-MIN($E$38:$E$46))/(MAX($E$38:$E$46)-MIN($E$38:$E$46))</f>
        <v>0.99668639053254438</v>
      </c>
      <c r="I38">
        <f t="shared" si="3"/>
        <v>0.19933727810650889</v>
      </c>
      <c r="J38">
        <f>RANK(F38,$F$38:$F$46,0)</f>
        <v>9</v>
      </c>
      <c r="K38">
        <f>RANK(G38,$G$38:$G$46,0)</f>
        <v>8</v>
      </c>
      <c r="L38">
        <f>RANK(H38,$H$38:$H$46,0)</f>
        <v>2</v>
      </c>
      <c r="M38">
        <f>RANK(I38,$I$38:$I$46,0)</f>
        <v>9</v>
      </c>
    </row>
    <row r="39" spans="1:13" x14ac:dyDescent="0.2">
      <c r="A39" t="s">
        <v>17</v>
      </c>
      <c r="B39" t="s">
        <v>19</v>
      </c>
      <c r="C39">
        <v>2096.5</v>
      </c>
      <c r="D39">
        <v>4.7699999999999996</v>
      </c>
      <c r="E39">
        <v>55.32</v>
      </c>
      <c r="F39">
        <f t="shared" ref="F39:F46" si="29">(C39-MIN($C$38:$C$46))/(MAX($C$38:$C$46)-MIN($C$38:$C$46))</f>
        <v>1</v>
      </c>
      <c r="G39">
        <f t="shared" ref="G39:G46" si="30">1-(D39-MIN($D$38:$D$46))/(MAX($D$38:$D$46)-MIN($D$38:$D$46))</f>
        <v>1</v>
      </c>
      <c r="H39">
        <f t="shared" ref="H39:H46" si="31">1-(E39-MIN($E$38:$E$46))/(MAX($E$38:$E$46)-MIN($E$38:$E$46))</f>
        <v>0.39455621301775146</v>
      </c>
      <c r="I39">
        <f t="shared" si="3"/>
        <v>0.87891124260355036</v>
      </c>
      <c r="J39" s="2">
        <f t="shared" ref="J39:J46" si="32">RANK(F39,$F$38:$F$46,0)</f>
        <v>1</v>
      </c>
      <c r="K39" s="2">
        <f t="shared" ref="K39:K46" si="33">RANK(G39,$G$38:$G$46,0)</f>
        <v>1</v>
      </c>
      <c r="L39">
        <f t="shared" ref="L39:L46" si="34">RANK(H39,$H$38:$H$46,0)</f>
        <v>4</v>
      </c>
      <c r="M39">
        <f t="shared" ref="M39:M46" si="35">RANK(I39,$I$38:$I$46,0)</f>
        <v>2</v>
      </c>
    </row>
    <row r="40" spans="1:13" x14ac:dyDescent="0.2">
      <c r="A40" t="s">
        <v>17</v>
      </c>
      <c r="B40" t="s">
        <v>20</v>
      </c>
      <c r="C40">
        <v>2062.5500000000002</v>
      </c>
      <c r="D40">
        <v>4.8499999999999996</v>
      </c>
      <c r="E40">
        <v>42.17</v>
      </c>
      <c r="F40">
        <f t="shared" si="29"/>
        <v>0.96489504704787532</v>
      </c>
      <c r="G40">
        <f t="shared" si="30"/>
        <v>0.98039215686274506</v>
      </c>
      <c r="H40">
        <f>1-(E40-MIN($E$38:$E$46))/(MAX($E$38:$E$46)-MIN($E$38:$E$46))</f>
        <v>0.70579881656804733</v>
      </c>
      <c r="I40">
        <f t="shared" si="3"/>
        <v>0.91927464487785771</v>
      </c>
      <c r="J40">
        <f t="shared" si="32"/>
        <v>6</v>
      </c>
      <c r="K40">
        <f t="shared" si="33"/>
        <v>5</v>
      </c>
      <c r="L40">
        <f t="shared" si="34"/>
        <v>3</v>
      </c>
      <c r="M40" s="2">
        <f>RANK(I40,$I$38:$I$46,0)</f>
        <v>1</v>
      </c>
    </row>
    <row r="41" spans="1:13" x14ac:dyDescent="0.2">
      <c r="A41" t="s">
        <v>17</v>
      </c>
      <c r="B41" t="s">
        <v>21</v>
      </c>
      <c r="C41">
        <v>2063.8000000000002</v>
      </c>
      <c r="D41">
        <v>4.8499999999999996</v>
      </c>
      <c r="E41">
        <v>71.989999999999995</v>
      </c>
      <c r="F41">
        <f t="shared" si="29"/>
        <v>0.96618757108882247</v>
      </c>
      <c r="G41">
        <f t="shared" si="30"/>
        <v>0.98039215686274506</v>
      </c>
      <c r="H41">
        <f>1-(E41-MIN($E$38:$E$46))/(MAX($E$38:$E$46)-MIN($E$38:$E$46))</f>
        <v>0</v>
      </c>
      <c r="I41">
        <f t="shared" si="3"/>
        <v>0.77863189118062703</v>
      </c>
      <c r="J41">
        <f t="shared" si="32"/>
        <v>5</v>
      </c>
      <c r="K41">
        <f t="shared" si="33"/>
        <v>5</v>
      </c>
      <c r="L41">
        <f t="shared" si="34"/>
        <v>9</v>
      </c>
      <c r="M41">
        <f t="shared" si="35"/>
        <v>7</v>
      </c>
    </row>
    <row r="42" spans="1:13" x14ac:dyDescent="0.2">
      <c r="A42" t="s">
        <v>17</v>
      </c>
      <c r="B42" t="s">
        <v>22</v>
      </c>
      <c r="C42">
        <v>2058.65</v>
      </c>
      <c r="D42">
        <v>4.8600000000000003</v>
      </c>
      <c r="E42">
        <v>64.62</v>
      </c>
      <c r="F42">
        <f t="shared" si="29"/>
        <v>0.96086237204012004</v>
      </c>
      <c r="G42">
        <f t="shared" si="30"/>
        <v>0.97794117647058809</v>
      </c>
      <c r="H42">
        <f t="shared" si="31"/>
        <v>0.17443786982248499</v>
      </c>
      <c r="I42">
        <f t="shared" si="3"/>
        <v>0.81040899336878025</v>
      </c>
      <c r="J42">
        <f t="shared" si="32"/>
        <v>7</v>
      </c>
      <c r="K42">
        <f t="shared" si="33"/>
        <v>7</v>
      </c>
      <c r="L42">
        <f t="shared" si="34"/>
        <v>8</v>
      </c>
      <c r="M42">
        <f t="shared" si="35"/>
        <v>6</v>
      </c>
    </row>
    <row r="43" spans="1:13" x14ac:dyDescent="0.2">
      <c r="A43" t="s">
        <v>17</v>
      </c>
      <c r="B43" t="s">
        <v>23</v>
      </c>
      <c r="C43">
        <v>2084.15</v>
      </c>
      <c r="D43">
        <v>4.8</v>
      </c>
      <c r="E43">
        <v>55.56</v>
      </c>
      <c r="F43">
        <f t="shared" si="29"/>
        <v>0.98722986247544209</v>
      </c>
      <c r="G43">
        <f t="shared" si="30"/>
        <v>0.99264705882352933</v>
      </c>
      <c r="H43">
        <f t="shared" si="31"/>
        <v>0.38887573964497035</v>
      </c>
      <c r="I43">
        <f t="shared" si="3"/>
        <v>0.86972591644858266</v>
      </c>
      <c r="J43">
        <f t="shared" si="32"/>
        <v>3</v>
      </c>
      <c r="K43">
        <f t="shared" si="33"/>
        <v>3</v>
      </c>
      <c r="L43">
        <f t="shared" si="34"/>
        <v>6</v>
      </c>
      <c r="M43">
        <f t="shared" si="35"/>
        <v>3</v>
      </c>
    </row>
    <row r="44" spans="1:13" x14ac:dyDescent="0.2">
      <c r="A44" t="s">
        <v>17</v>
      </c>
      <c r="B44" t="s">
        <v>24</v>
      </c>
      <c r="C44">
        <v>1130.25</v>
      </c>
      <c r="D44">
        <v>8.85</v>
      </c>
      <c r="E44">
        <v>29.74</v>
      </c>
      <c r="F44">
        <f t="shared" si="29"/>
        <v>8.7891634784397594E-4</v>
      </c>
      <c r="G44">
        <f t="shared" si="30"/>
        <v>0</v>
      </c>
      <c r="H44">
        <f t="shared" si="31"/>
        <v>1</v>
      </c>
      <c r="I44">
        <f t="shared" si="3"/>
        <v>0.2003515665391376</v>
      </c>
      <c r="J44">
        <f t="shared" si="32"/>
        <v>8</v>
      </c>
      <c r="K44">
        <f t="shared" si="33"/>
        <v>8</v>
      </c>
      <c r="L44" s="2">
        <f t="shared" si="34"/>
        <v>1</v>
      </c>
      <c r="M44">
        <f t="shared" si="35"/>
        <v>8</v>
      </c>
    </row>
    <row r="45" spans="1:13" x14ac:dyDescent="0.2">
      <c r="A45" t="s">
        <v>17</v>
      </c>
      <c r="B45" t="s">
        <v>25</v>
      </c>
      <c r="C45">
        <v>2078.3000000000002</v>
      </c>
      <c r="D45">
        <v>4.8099999999999996</v>
      </c>
      <c r="E45">
        <v>55.42</v>
      </c>
      <c r="F45">
        <f t="shared" si="29"/>
        <v>0.9811808499638095</v>
      </c>
      <c r="G45">
        <f t="shared" si="30"/>
        <v>0.99019607843137258</v>
      </c>
      <c r="H45">
        <f t="shared" si="31"/>
        <v>0.39218934911242598</v>
      </c>
      <c r="I45">
        <f t="shared" si="3"/>
        <v>0.86698864118055807</v>
      </c>
      <c r="J45">
        <f t="shared" si="32"/>
        <v>4</v>
      </c>
      <c r="K45">
        <f t="shared" si="33"/>
        <v>4</v>
      </c>
      <c r="L45">
        <f t="shared" si="34"/>
        <v>5</v>
      </c>
      <c r="M45">
        <f t="shared" si="35"/>
        <v>4</v>
      </c>
    </row>
    <row r="46" spans="1:13" x14ac:dyDescent="0.2">
      <c r="A46" t="s">
        <v>17</v>
      </c>
      <c r="B46" t="s">
        <v>26</v>
      </c>
      <c r="C46">
        <v>2093.0500000000002</v>
      </c>
      <c r="D46">
        <v>4.78</v>
      </c>
      <c r="E46">
        <v>58.82</v>
      </c>
      <c r="F46">
        <f t="shared" si="29"/>
        <v>0.99643263364698598</v>
      </c>
      <c r="G46">
        <f t="shared" si="30"/>
        <v>0.99754901960784292</v>
      </c>
      <c r="H46">
        <f t="shared" si="31"/>
        <v>0.31171597633136094</v>
      </c>
      <c r="I46">
        <f t="shared" si="3"/>
        <v>0.8599358565682037</v>
      </c>
      <c r="J46">
        <f t="shared" si="32"/>
        <v>2</v>
      </c>
      <c r="K46">
        <f t="shared" si="33"/>
        <v>2</v>
      </c>
      <c r="L46">
        <f t="shared" si="34"/>
        <v>7</v>
      </c>
      <c r="M46">
        <f t="shared" si="35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Mẫn Lê Viết</cp:lastModifiedBy>
  <dcterms:created xsi:type="dcterms:W3CDTF">2025-07-29T10:46:29Z</dcterms:created>
  <dcterms:modified xsi:type="dcterms:W3CDTF">2025-07-30T16:58:42Z</dcterms:modified>
</cp:coreProperties>
</file>